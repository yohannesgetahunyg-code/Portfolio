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032\Desktop\personal Finance\"/>
    </mc:Choice>
  </mc:AlternateContent>
  <xr:revisionPtr revIDLastSave="0" documentId="13_ncr:1_{EF15FC50-C307-45E4-9F25-C0DD23DCB207}" xr6:coauthVersionLast="47" xr6:coauthVersionMax="47" xr10:uidLastSave="{00000000-0000-0000-0000-000000000000}"/>
  <bookViews>
    <workbookView xWindow="-108" yWindow="-108" windowWidth="23256" windowHeight="12456" xr2:uid="{EB327FAD-DA94-41EF-A7BE-978E050FBE77}"/>
  </bookViews>
  <sheets>
    <sheet name="Dashboard" sheetId="1" r:id="rId1"/>
    <sheet name="Data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16" i="1" s="1"/>
  <c r="B16" i="1"/>
  <c r="B8" i="1"/>
  <c r="B9" i="1"/>
  <c r="B10" i="1"/>
  <c r="B11" i="1"/>
  <c r="D11" i="1" s="1"/>
  <c r="B12" i="1"/>
  <c r="B13" i="1"/>
  <c r="D13" i="1" s="1"/>
  <c r="B14" i="1"/>
  <c r="B15" i="1"/>
  <c r="D15" i="1" s="1"/>
  <c r="B7" i="1"/>
  <c r="D7" i="1" s="1"/>
  <c r="C15" i="1"/>
  <c r="C13" i="1"/>
  <c r="C12" i="1"/>
  <c r="D12" i="1"/>
  <c r="C11" i="1"/>
  <c r="C10" i="1"/>
  <c r="D10" i="1" s="1"/>
  <c r="C9" i="1"/>
  <c r="D9" i="1"/>
  <c r="C8" i="1"/>
  <c r="D8" i="1" s="1"/>
  <c r="C7" i="1"/>
  <c r="B4" i="1"/>
  <c r="A4" i="1"/>
  <c r="C4" i="1" s="1"/>
  <c r="D4" i="1" s="1"/>
  <c r="D14" i="1" l="1"/>
  <c r="D16" i="1" s="1"/>
</calcChain>
</file>

<file path=xl/sharedStrings.xml><?xml version="1.0" encoding="utf-8"?>
<sst xmlns="http://schemas.openxmlformats.org/spreadsheetml/2006/main" count="98" uniqueCount="35">
  <si>
    <t>Date</t>
  </si>
  <si>
    <t>Category</t>
  </si>
  <si>
    <t>Description</t>
  </si>
  <si>
    <t>Type</t>
  </si>
  <si>
    <t>Amount</t>
  </si>
  <si>
    <t>Rent</t>
  </si>
  <si>
    <t>Monthly rent</t>
  </si>
  <si>
    <t>Expense</t>
  </si>
  <si>
    <t>Food</t>
  </si>
  <si>
    <t>Groceries</t>
  </si>
  <si>
    <t>Transport</t>
  </si>
  <si>
    <t>Bus fare</t>
  </si>
  <si>
    <t>Phone Bill</t>
  </si>
  <si>
    <t>Monthly bill</t>
  </si>
  <si>
    <t>Savings</t>
  </si>
  <si>
    <t>Monthly savings</t>
  </si>
  <si>
    <t>Entertainment</t>
  </si>
  <si>
    <t>Cinema</t>
  </si>
  <si>
    <t>Income</t>
  </si>
  <si>
    <t>Salary</t>
  </si>
  <si>
    <t>Dinner out</t>
  </si>
  <si>
    <t>Clothing</t>
  </si>
  <si>
    <t>New clothes</t>
  </si>
  <si>
    <t>Monthly Budget</t>
  </si>
  <si>
    <t>Utilities</t>
  </si>
  <si>
    <t>Other</t>
  </si>
  <si>
    <t>Personal Finance Tracker</t>
  </si>
  <si>
    <t>Total Income</t>
  </si>
  <si>
    <t>Total Expenses</t>
  </si>
  <si>
    <t>Net Savings</t>
  </si>
  <si>
    <t>Savings Rate</t>
  </si>
  <si>
    <t>Budget</t>
  </si>
  <si>
    <t>Actual</t>
  </si>
  <si>
    <t>Difference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</si>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</sst>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8"/>
      <color theme="0"/>
      <name val="Times New Roman"/>
      <family val="1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7" fillId="0" borderId="0" xfId="0" applyFont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ont="1"/>
    <xf numFmtId="44" fontId="6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Budget vs Actual Spending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Budget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Dashboard!$A$7:$A$16</c15:sqref>
                  </c15:fullRef>
                </c:ext>
              </c:extLst>
              <c:f>Dashboard!$A$7:$A$15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Utilities</c:v>
                </c:pt>
                <c:pt idx="4">
                  <c:v>Phone Bill</c:v>
                </c:pt>
                <c:pt idx="5">
                  <c:v>Entertainment</c:v>
                </c:pt>
                <c:pt idx="6">
                  <c:v>Clothing</c:v>
                </c:pt>
                <c:pt idx="7">
                  <c:v>Savings</c:v>
                </c:pt>
                <c:pt idx="8">
                  <c:v>Other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Dashboard!$B$7:$B$16</c15:sqref>
                  </c15:fullRef>
                </c:ext>
              </c:extLst>
              <c:f>Dashboard!$B$7:$B$15</c:f>
              <c:numCache>
                <c:formatCode>General</c:formatCode>
                <c:ptCount val="9"/>
                <c:pt idx="0">
                  <c:v>4500</c:v>
                </c:pt>
                <c:pt idx="1">
                  <c:v>1200</c:v>
                </c:pt>
                <c:pt idx="2">
                  <c:v>15000</c:v>
                </c:pt>
                <c:pt idx="3">
                  <c:v>1500</c:v>
                </c:pt>
                <c:pt idx="4">
                  <c:v>1500</c:v>
                </c:pt>
                <c:pt idx="5">
                  <c:v>1800</c:v>
                </c:pt>
                <c:pt idx="6">
                  <c:v>2400</c:v>
                </c:pt>
                <c:pt idx="7">
                  <c:v>6000</c:v>
                </c:pt>
                <c:pt idx="8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B-4923-9965-40A6FF59AF04}"/>
            </c:ext>
          </c:extLst>
        </c:ser>
        <c:ser>
          <c:idx val="1"/>
          <c:order val="1"/>
          <c:tx>
            <c:v>Actual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Dashboard!$A$7:$A$16</c15:sqref>
                  </c15:fullRef>
                </c:ext>
              </c:extLst>
              <c:f>Dashboard!$A$7:$A$15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Utilities</c:v>
                </c:pt>
                <c:pt idx="4">
                  <c:v>Phone Bill</c:v>
                </c:pt>
                <c:pt idx="5">
                  <c:v>Entertainment</c:v>
                </c:pt>
                <c:pt idx="6">
                  <c:v>Clothing</c:v>
                </c:pt>
                <c:pt idx="7">
                  <c:v>Savings</c:v>
                </c:pt>
                <c:pt idx="8">
                  <c:v>Other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Dashboard!$C$7:$C$16</c15:sqref>
                  </c15:fullRef>
                </c:ext>
              </c:extLst>
              <c:f>Dashboard!$C$7:$C$15</c:f>
              <c:numCache>
                <c:formatCode>General</c:formatCode>
                <c:ptCount val="9"/>
                <c:pt idx="0">
                  <c:v>3700</c:v>
                </c:pt>
                <c:pt idx="1">
                  <c:v>970</c:v>
                </c:pt>
                <c:pt idx="2">
                  <c:v>15000</c:v>
                </c:pt>
                <c:pt idx="3">
                  <c:v>0</c:v>
                </c:pt>
                <c:pt idx="4">
                  <c:v>1500</c:v>
                </c:pt>
                <c:pt idx="5">
                  <c:v>1000</c:v>
                </c:pt>
                <c:pt idx="6">
                  <c:v>800</c:v>
                </c:pt>
                <c:pt idx="7">
                  <c:v>6000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B-4923-9965-40A6FF59AF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2031984"/>
        <c:axId val="5520329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Dashboard!$A$7:$A$16</c15:sqref>
                        </c15:fullRef>
                        <c15:formulaRef>
                          <c15:sqref>Dashboard!$A$7:$A$15</c15:sqref>
                        </c15:formulaRef>
                      </c:ext>
                    </c:extLst>
                    <c:strCache>
                      <c:ptCount val="9"/>
                      <c:pt idx="0">
                        <c:v>Food</c:v>
                      </c:pt>
                      <c:pt idx="1">
                        <c:v>Transport</c:v>
                      </c:pt>
                      <c:pt idx="2">
                        <c:v>Rent</c:v>
                      </c:pt>
                      <c:pt idx="3">
                        <c:v>Utilities</c:v>
                      </c:pt>
                      <c:pt idx="4">
                        <c:v>Phone Bill</c:v>
                      </c:pt>
                      <c:pt idx="5">
                        <c:v>Entertainment</c:v>
                      </c:pt>
                      <c:pt idx="6">
                        <c:v>Clothing</c:v>
                      </c:pt>
                      <c:pt idx="7">
                        <c:v>Savings</c:v>
                      </c:pt>
                      <c:pt idx="8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Dashboard!$D$7:$D$16</c15:sqref>
                        </c15:fullRef>
                        <c15:formulaRef>
                          <c15:sqref>Dashboard!$D$7:$D$15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800</c:v>
                      </c:pt>
                      <c:pt idx="1">
                        <c:v>230</c:v>
                      </c:pt>
                      <c:pt idx="2">
                        <c:v>0</c:v>
                      </c:pt>
                      <c:pt idx="3">
                        <c:v>1500</c:v>
                      </c:pt>
                      <c:pt idx="4">
                        <c:v>0</c:v>
                      </c:pt>
                      <c:pt idx="5">
                        <c:v>800</c:v>
                      </c:pt>
                      <c:pt idx="6">
                        <c:v>1600</c:v>
                      </c:pt>
                      <c:pt idx="7">
                        <c:v>0</c:v>
                      </c:pt>
                      <c:pt idx="8">
                        <c:v>1500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ACB-4923-9965-40A6FF59AF04}"/>
                  </c:ext>
                </c:extLst>
              </c15:ser>
            </c15:filteredBarSeries>
          </c:ext>
        </c:extLst>
      </c:barChart>
      <c:catAx>
        <c:axId val="55203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32944"/>
        <c:crosses val="autoZero"/>
        <c:auto val="1"/>
        <c:lblAlgn val="ctr"/>
        <c:lblOffset val="100"/>
        <c:noMultiLvlLbl val="0"/>
      </c:catAx>
      <c:valAx>
        <c:axId val="5520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3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0</xdr:row>
      <xdr:rowOff>182880</xdr:rowOff>
    </xdr:from>
    <xdr:to>
      <xdr:col>14</xdr:col>
      <xdr:colOff>449580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759B6-3A29-6A7B-6F0A-02BE4D28E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E359-00E7-427D-8EF1-E83474395CD7}">
  <dimension ref="A1:F16"/>
  <sheetViews>
    <sheetView tabSelected="1" zoomScaleNormal="100" workbookViewId="0">
      <selection activeCell="K25" sqref="K25"/>
    </sheetView>
  </sheetViews>
  <sheetFormatPr defaultRowHeight="14.4"/>
  <cols>
    <col min="1" max="3" width="17.6640625" bestFit="1" customWidth="1"/>
    <col min="4" max="4" width="13.33203125" bestFit="1" customWidth="1"/>
  </cols>
  <sheetData>
    <row r="1" spans="1:6" ht="22.8">
      <c r="A1" s="11" t="s">
        <v>26</v>
      </c>
      <c r="B1" s="12"/>
      <c r="C1" s="12"/>
      <c r="D1" s="12"/>
      <c r="E1" s="12"/>
      <c r="F1" s="12"/>
    </row>
    <row r="3" spans="1:6" ht="15.6">
      <c r="A3" s="8" t="s">
        <v>27</v>
      </c>
      <c r="B3" s="8" t="s">
        <v>28</v>
      </c>
      <c r="C3" s="8" t="s">
        <v>29</v>
      </c>
      <c r="D3" s="8" t="s">
        <v>30</v>
      </c>
      <c r="E3" s="6"/>
    </row>
    <row r="4" spans="1:6" ht="17.399999999999999">
      <c r="A4" s="14">
        <f>SUMIF(Data!D:D,"Income",Data!E:E)</f>
        <v>45000</v>
      </c>
      <c r="B4" s="14">
        <f>SUMIF(Data!D:D,"Expense",Data!E:E)</f>
        <v>28970</v>
      </c>
      <c r="C4" s="14">
        <f>A4-B4</f>
        <v>16030</v>
      </c>
      <c r="D4" s="7">
        <f>IFERROR(ROUND(C4/A4*100,2),0)</f>
        <v>35.619999999999997</v>
      </c>
    </row>
    <row r="6" spans="1:6" ht="15.6">
      <c r="A6" s="9" t="s">
        <v>1</v>
      </c>
      <c r="B6" s="9" t="s">
        <v>31</v>
      </c>
      <c r="C6" s="9" t="s">
        <v>32</v>
      </c>
      <c r="D6" s="9" t="s">
        <v>33</v>
      </c>
    </row>
    <row r="7" spans="1:6">
      <c r="A7" s="10" t="s">
        <v>8</v>
      </c>
      <c r="B7">
        <f>VLOOKUP(A7,Settings!A:B,2,0)*3</f>
        <v>4500</v>
      </c>
      <c r="C7">
        <f>SUMIFS(Data!E:E,Data!B:B,A7,Data!D:D,"Expense")</f>
        <v>3700</v>
      </c>
      <c r="D7">
        <f>B7-C7</f>
        <v>800</v>
      </c>
    </row>
    <row r="8" spans="1:6">
      <c r="A8" s="13" t="s">
        <v>10</v>
      </c>
      <c r="B8">
        <f>VLOOKUP(A8,Settings!A:B,2,0)*3</f>
        <v>1200</v>
      </c>
      <c r="C8">
        <f>SUMIFS(Data!E:E,Data!B:B,A8,Data!D:D,"Expense")</f>
        <v>970</v>
      </c>
      <c r="D8">
        <f t="shared" ref="D8:D15" si="0">B8-C8</f>
        <v>230</v>
      </c>
    </row>
    <row r="9" spans="1:6">
      <c r="A9" s="13" t="s">
        <v>5</v>
      </c>
      <c r="B9">
        <f>VLOOKUP(A9,Settings!A:B,2,0)*3</f>
        <v>15000</v>
      </c>
      <c r="C9">
        <f>SUMIFS(Data!E:E,Data!B:B,A9,Data!D:D,"Expense")</f>
        <v>15000</v>
      </c>
      <c r="D9">
        <f t="shared" si="0"/>
        <v>0</v>
      </c>
    </row>
    <row r="10" spans="1:6">
      <c r="A10" s="13" t="s">
        <v>24</v>
      </c>
      <c r="B10">
        <f>VLOOKUP(A10,Settings!A:B,2,0)*3</f>
        <v>1500</v>
      </c>
      <c r="C10">
        <f>SUMIFS(Data!E:E,Data!B:B,A10,Data!D:D,"Expense")</f>
        <v>0</v>
      </c>
      <c r="D10">
        <f t="shared" si="0"/>
        <v>1500</v>
      </c>
    </row>
    <row r="11" spans="1:6">
      <c r="A11" s="13" t="s">
        <v>12</v>
      </c>
      <c r="B11">
        <f>VLOOKUP(A11,Settings!A:B,2,0)*3</f>
        <v>1500</v>
      </c>
      <c r="C11">
        <f>SUMIFS(Data!E:E,Data!B:B,A11,Data!D:D,"Expense")</f>
        <v>1500</v>
      </c>
      <c r="D11">
        <f t="shared" si="0"/>
        <v>0</v>
      </c>
    </row>
    <row r="12" spans="1:6">
      <c r="A12" s="13" t="s">
        <v>16</v>
      </c>
      <c r="B12">
        <f>VLOOKUP(A12,Settings!A:B,2,0)*3</f>
        <v>1800</v>
      </c>
      <c r="C12">
        <f>SUMIFS(Data!E:E,Data!B:B,A12,Data!D:D,"Expense")</f>
        <v>1000</v>
      </c>
      <c r="D12">
        <f t="shared" si="0"/>
        <v>800</v>
      </c>
    </row>
    <row r="13" spans="1:6">
      <c r="A13" s="13" t="s">
        <v>21</v>
      </c>
      <c r="B13">
        <f>VLOOKUP(A13,Settings!A:B,2,0)*3</f>
        <v>2400</v>
      </c>
      <c r="C13">
        <f>SUMIFS(Data!E:E,Data!B:B,A13,Data!D:D,"Expense")</f>
        <v>800</v>
      </c>
      <c r="D13">
        <f t="shared" si="0"/>
        <v>1600</v>
      </c>
    </row>
    <row r="14" spans="1:6">
      <c r="A14" s="13" t="s">
        <v>14</v>
      </c>
      <c r="B14">
        <f>VLOOKUP(A14,Settings!A:B,2,0)*3</f>
        <v>6000</v>
      </c>
      <c r="C14">
        <f>SUMIFS(Data!E:E,Data!B:B,A14,Data!D:D,"Expense")</f>
        <v>6000</v>
      </c>
      <c r="D14">
        <f t="shared" si="0"/>
        <v>0</v>
      </c>
    </row>
    <row r="15" spans="1:6">
      <c r="A15" s="13" t="s">
        <v>25</v>
      </c>
      <c r="B15">
        <f>VLOOKUP(A15,Settings!A:B,2,0)*3</f>
        <v>1500</v>
      </c>
      <c r="C15">
        <f>SUMIFS(Data!E:E,Data!B:B,A15,Data!D:D,"Expense")</f>
        <v>0</v>
      </c>
      <c r="D15">
        <f t="shared" si="0"/>
        <v>1500</v>
      </c>
    </row>
    <row r="16" spans="1:6">
      <c r="A16" s="13" t="s">
        <v>34</v>
      </c>
      <c r="B16">
        <f>SUM(B7:B15)</f>
        <v>35400</v>
      </c>
      <c r="C16">
        <f t="shared" ref="C16:D16" si="1">SUM(C7:C15)</f>
        <v>28970</v>
      </c>
      <c r="D16">
        <f t="shared" si="1"/>
        <v>6430</v>
      </c>
    </row>
  </sheetData>
  <mergeCells count="1">
    <mergeCell ref="A1:F1"/>
  </mergeCells>
  <conditionalFormatting sqref="D7:D1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0" priority="4" operator="lessThan">
      <formula>0</formula>
    </cfRule>
    <cfRule type="cellIs" dxfId="1" priority="3" operator="lessThan">
      <formula>0</formula>
    </cfRule>
    <cfRule type="cellIs" dxfId="2" priority="2" operator="greaterThan">
      <formula>0</formula>
    </cfRule>
    <cfRule type="cellIs" dxfId="3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89A6-2283-456B-8B23-F2DCD5D404CE}">
  <dimension ref="A1:E22"/>
  <sheetViews>
    <sheetView workbookViewId="0">
      <selection activeCell="B1" sqref="B1"/>
    </sheetView>
  </sheetViews>
  <sheetFormatPr defaultRowHeight="14.4"/>
  <cols>
    <col min="1" max="1" width="12.109375" customWidth="1"/>
    <col min="2" max="2" width="18.77734375" customWidth="1"/>
    <col min="3" max="3" width="18.6640625" customWidth="1"/>
    <col min="4" max="4" width="12.33203125" customWidth="1"/>
    <col min="5" max="5" width="15" customWidth="1"/>
  </cols>
  <sheetData>
    <row r="1" spans="1:5" s="1" customFormat="1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4">
        <v>45658</v>
      </c>
      <c r="B2" s="3" t="s">
        <v>5</v>
      </c>
      <c r="C2" s="3" t="s">
        <v>6</v>
      </c>
      <c r="D2" s="3" t="s">
        <v>7</v>
      </c>
      <c r="E2" s="3">
        <v>5000</v>
      </c>
    </row>
    <row r="3" spans="1:5">
      <c r="A3" s="4">
        <v>45658</v>
      </c>
      <c r="B3" s="3" t="s">
        <v>8</v>
      </c>
      <c r="C3" s="3" t="s">
        <v>9</v>
      </c>
      <c r="D3" s="3" t="s">
        <v>7</v>
      </c>
      <c r="E3" s="3">
        <v>1200</v>
      </c>
    </row>
    <row r="4" spans="1:5">
      <c r="A4" s="4">
        <v>45658</v>
      </c>
      <c r="B4" s="3" t="s">
        <v>10</v>
      </c>
      <c r="C4" s="3" t="s">
        <v>11</v>
      </c>
      <c r="D4" s="3" t="s">
        <v>7</v>
      </c>
      <c r="E4" s="3">
        <v>300</v>
      </c>
    </row>
    <row r="5" spans="1:5">
      <c r="A5" s="4">
        <v>45658</v>
      </c>
      <c r="B5" s="3" t="s">
        <v>12</v>
      </c>
      <c r="C5" s="3" t="s">
        <v>13</v>
      </c>
      <c r="D5" s="3" t="s">
        <v>7</v>
      </c>
      <c r="E5" s="3">
        <v>500</v>
      </c>
    </row>
    <row r="6" spans="1:5">
      <c r="A6" s="4">
        <v>45658</v>
      </c>
      <c r="B6" s="3" t="s">
        <v>14</v>
      </c>
      <c r="C6" s="3" t="s">
        <v>15</v>
      </c>
      <c r="D6" s="3" t="s">
        <v>7</v>
      </c>
      <c r="E6" s="3">
        <v>2000</v>
      </c>
    </row>
    <row r="7" spans="1:5">
      <c r="A7" s="4">
        <v>45658</v>
      </c>
      <c r="B7" s="3" t="s">
        <v>16</v>
      </c>
      <c r="C7" s="3" t="s">
        <v>17</v>
      </c>
      <c r="D7" s="3" t="s">
        <v>7</v>
      </c>
      <c r="E7" s="3">
        <v>400</v>
      </c>
    </row>
    <row r="8" spans="1:5">
      <c r="A8" s="4">
        <v>45672</v>
      </c>
      <c r="B8" s="3" t="s">
        <v>18</v>
      </c>
      <c r="C8" s="3" t="s">
        <v>19</v>
      </c>
      <c r="D8" s="3" t="s">
        <v>18</v>
      </c>
      <c r="E8" s="3">
        <v>15000</v>
      </c>
    </row>
    <row r="9" spans="1:5">
      <c r="A9" s="4">
        <v>45689</v>
      </c>
      <c r="B9" s="3" t="s">
        <v>5</v>
      </c>
      <c r="C9" s="3" t="s">
        <v>6</v>
      </c>
      <c r="D9" s="3" t="s">
        <v>7</v>
      </c>
      <c r="E9" s="3">
        <v>5000</v>
      </c>
    </row>
    <row r="10" spans="1:5">
      <c r="A10" s="4">
        <v>45689</v>
      </c>
      <c r="B10" s="3" t="s">
        <v>8</v>
      </c>
      <c r="C10" s="3" t="s">
        <v>9</v>
      </c>
      <c r="D10" s="3" t="s">
        <v>7</v>
      </c>
      <c r="E10" s="3">
        <v>1400</v>
      </c>
    </row>
    <row r="11" spans="1:5">
      <c r="A11" s="4">
        <v>45689</v>
      </c>
      <c r="B11" s="3" t="s">
        <v>10</v>
      </c>
      <c r="C11" s="3" t="s">
        <v>11</v>
      </c>
      <c r="D11" s="3" t="s">
        <v>7</v>
      </c>
      <c r="E11" s="3">
        <v>350</v>
      </c>
    </row>
    <row r="12" spans="1:5">
      <c r="A12" s="4">
        <v>45689</v>
      </c>
      <c r="B12" s="3" t="s">
        <v>12</v>
      </c>
      <c r="C12" s="3" t="s">
        <v>13</v>
      </c>
      <c r="D12" s="3" t="s">
        <v>7</v>
      </c>
      <c r="E12" s="3">
        <v>500</v>
      </c>
    </row>
    <row r="13" spans="1:5">
      <c r="A13" s="4">
        <v>45689</v>
      </c>
      <c r="B13" s="3" t="s">
        <v>14</v>
      </c>
      <c r="C13" s="3" t="s">
        <v>15</v>
      </c>
      <c r="D13" s="3" t="s">
        <v>7</v>
      </c>
      <c r="E13" s="3">
        <v>2000</v>
      </c>
    </row>
    <row r="14" spans="1:5">
      <c r="A14" s="4">
        <v>45689</v>
      </c>
      <c r="B14" s="3" t="s">
        <v>16</v>
      </c>
      <c r="C14" s="3" t="s">
        <v>20</v>
      </c>
      <c r="D14" s="3" t="s">
        <v>7</v>
      </c>
      <c r="E14" s="3">
        <v>600</v>
      </c>
    </row>
    <row r="15" spans="1:5">
      <c r="A15" s="4">
        <v>45703</v>
      </c>
      <c r="B15" s="3" t="s">
        <v>18</v>
      </c>
      <c r="C15" s="3" t="s">
        <v>19</v>
      </c>
      <c r="D15" s="3" t="s">
        <v>18</v>
      </c>
      <c r="E15" s="3">
        <v>15000</v>
      </c>
    </row>
    <row r="16" spans="1:5">
      <c r="A16" s="4">
        <v>45717</v>
      </c>
      <c r="B16" s="3" t="s">
        <v>5</v>
      </c>
      <c r="C16" s="3" t="s">
        <v>6</v>
      </c>
      <c r="D16" s="3" t="s">
        <v>7</v>
      </c>
      <c r="E16" s="3">
        <v>5000</v>
      </c>
    </row>
    <row r="17" spans="1:5">
      <c r="A17" s="4">
        <v>45717</v>
      </c>
      <c r="B17" s="3" t="s">
        <v>8</v>
      </c>
      <c r="C17" s="3" t="s">
        <v>9</v>
      </c>
      <c r="D17" s="3" t="s">
        <v>7</v>
      </c>
      <c r="E17" s="3">
        <v>1100</v>
      </c>
    </row>
    <row r="18" spans="1:5">
      <c r="A18" s="4">
        <v>45717</v>
      </c>
      <c r="B18" s="3" t="s">
        <v>10</v>
      </c>
      <c r="C18" s="3" t="s">
        <v>11</v>
      </c>
      <c r="D18" s="3" t="s">
        <v>7</v>
      </c>
      <c r="E18" s="3">
        <v>320</v>
      </c>
    </row>
    <row r="19" spans="1:5">
      <c r="A19" s="4">
        <v>45717</v>
      </c>
      <c r="B19" s="3" t="s">
        <v>12</v>
      </c>
      <c r="C19" s="3" t="s">
        <v>13</v>
      </c>
      <c r="D19" s="3" t="s">
        <v>7</v>
      </c>
      <c r="E19" s="3">
        <v>500</v>
      </c>
    </row>
    <row r="20" spans="1:5">
      <c r="A20" s="4">
        <v>45717</v>
      </c>
      <c r="B20" s="3" t="s">
        <v>14</v>
      </c>
      <c r="C20" s="3" t="s">
        <v>15</v>
      </c>
      <c r="D20" s="3" t="s">
        <v>7</v>
      </c>
      <c r="E20" s="3">
        <v>2000</v>
      </c>
    </row>
    <row r="21" spans="1:5">
      <c r="A21" s="4">
        <v>45717</v>
      </c>
      <c r="B21" s="3" t="s">
        <v>21</v>
      </c>
      <c r="C21" s="3" t="s">
        <v>22</v>
      </c>
      <c r="D21" s="3" t="s">
        <v>7</v>
      </c>
      <c r="E21" s="3">
        <v>800</v>
      </c>
    </row>
    <row r="22" spans="1:5">
      <c r="A22" s="4">
        <v>45731</v>
      </c>
      <c r="B22" s="3" t="s">
        <v>18</v>
      </c>
      <c r="C22" s="3" t="s">
        <v>19</v>
      </c>
      <c r="D22" s="3" t="s">
        <v>18</v>
      </c>
      <c r="E22" s="3">
        <v>15000</v>
      </c>
    </row>
  </sheetData>
  <dataValidations count="2">
    <dataValidation type="list" allowBlank="1" showInputMessage="1" showErrorMessage="1" sqref="B23:B99" xr:uid="{951641FB-DE72-4E63-BFFA-C832E1C222C8}">
      <formula1>"Food,Transport,Rent,Utilities,Phone Bill,Entertainment,Clothing,Savings,Other"</formula1>
    </dataValidation>
    <dataValidation type="list" allowBlank="1" showInputMessage="1" showErrorMessage="1" sqref="D23:D99" xr:uid="{B1A546D6-0BFA-4D13-AC88-AF523AB16C27}">
      <formula1>"Income,Expense"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1BA5-EA88-40BA-AB3C-20390F7A34DF}">
  <dimension ref="A1:B10"/>
  <sheetViews>
    <sheetView workbookViewId="0">
      <selection activeCell="B13" sqref="B13"/>
    </sheetView>
  </sheetViews>
  <sheetFormatPr defaultRowHeight="14.4"/>
  <cols>
    <col min="1" max="1" width="17.33203125" customWidth="1"/>
    <col min="2" max="2" width="21" customWidth="1"/>
  </cols>
  <sheetData>
    <row r="1" spans="1:2" ht="15.6">
      <c r="A1" s="5" t="s">
        <v>1</v>
      </c>
      <c r="B1" s="5" t="s">
        <v>23</v>
      </c>
    </row>
    <row r="2" spans="1:2">
      <c r="A2" s="3" t="s">
        <v>8</v>
      </c>
      <c r="B2" s="3">
        <v>1500</v>
      </c>
    </row>
    <row r="3" spans="1:2">
      <c r="A3" s="3" t="s">
        <v>10</v>
      </c>
      <c r="B3" s="3">
        <v>400</v>
      </c>
    </row>
    <row r="4" spans="1:2">
      <c r="A4" s="3" t="s">
        <v>5</v>
      </c>
      <c r="B4" s="3">
        <v>5000</v>
      </c>
    </row>
    <row r="5" spans="1:2">
      <c r="A5" s="3" t="s">
        <v>24</v>
      </c>
      <c r="B5" s="3">
        <v>500</v>
      </c>
    </row>
    <row r="6" spans="1:2">
      <c r="A6" s="3" t="s">
        <v>12</v>
      </c>
      <c r="B6" s="3">
        <v>500</v>
      </c>
    </row>
    <row r="7" spans="1:2">
      <c r="A7" s="3" t="s">
        <v>16</v>
      </c>
      <c r="B7" s="3">
        <v>600</v>
      </c>
    </row>
    <row r="8" spans="1:2">
      <c r="A8" s="3" t="s">
        <v>21</v>
      </c>
      <c r="B8" s="3">
        <v>800</v>
      </c>
    </row>
    <row r="9" spans="1:2">
      <c r="A9" s="3" t="s">
        <v>14</v>
      </c>
      <c r="B9" s="3">
        <v>2000</v>
      </c>
    </row>
    <row r="10" spans="1:2">
      <c r="A10" s="3" t="s">
        <v>25</v>
      </c>
      <c r="B10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Settings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yohannes getahun</dc:creator>
  <cp:lastModifiedBy>yohannes getahun</cp:lastModifiedBy>
  <dcterms:created xsi:type="dcterms:W3CDTF">2026-05-04T10:36:34Z</dcterms:created>
  <dcterms:modified xsi:type="dcterms:W3CDTF">2026-05-05T09:26:55Z</dcterms:modified>
</cp:coreProperties>
</file>